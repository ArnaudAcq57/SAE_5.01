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Nueva carpeta (15)\"/>
    </mc:Choice>
  </mc:AlternateContent>
  <xr:revisionPtr revIDLastSave="0" documentId="13_ncr:1_{C9A4DAEB-886D-4E72-BEF8-CBB0F51F4064}" xr6:coauthVersionLast="36" xr6:coauthVersionMax="36" xr10:uidLastSave="{00000000-0000-0000-0000-000000000000}"/>
  <bookViews>
    <workbookView xWindow="-108" yWindow="-108" windowWidth="23256" windowHeight="12456" xr2:uid="{7C85CC62-D14A-45EB-A32C-DE62198B4C22}"/>
  </bookViews>
  <sheets>
    <sheet name="Gantt SAE RA 5.0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1" l="1"/>
  <c r="I29" i="1" s="1"/>
  <c r="D30" i="1"/>
  <c r="D31" i="1"/>
  <c r="D32" i="1"/>
  <c r="D33" i="1"/>
  <c r="D34" i="1"/>
  <c r="D35" i="1"/>
  <c r="D36" i="1"/>
  <c r="D37" i="1"/>
  <c r="D38" i="1"/>
  <c r="D39" i="1"/>
  <c r="D40" i="1"/>
  <c r="D28" i="1"/>
  <c r="J29" i="1"/>
  <c r="I39" i="1"/>
  <c r="I40" i="1"/>
  <c r="J39" i="1"/>
  <c r="J40" i="1"/>
  <c r="I28" i="1" l="1"/>
  <c r="I30" i="1"/>
  <c r="I31" i="1"/>
  <c r="I32" i="1"/>
  <c r="I33" i="1"/>
  <c r="I34" i="1"/>
  <c r="I35" i="1"/>
  <c r="I36" i="1"/>
  <c r="I37" i="1"/>
  <c r="I38" i="1"/>
  <c r="J30" i="1"/>
  <c r="J31" i="1"/>
  <c r="J32" i="1"/>
  <c r="J34" i="1"/>
  <c r="J33" i="1"/>
  <c r="J35" i="1"/>
  <c r="J36" i="1"/>
  <c r="J37" i="1"/>
  <c r="J38" i="1"/>
  <c r="J28" i="1"/>
</calcChain>
</file>

<file path=xl/sharedStrings.xml><?xml version="1.0" encoding="utf-8"?>
<sst xmlns="http://schemas.openxmlformats.org/spreadsheetml/2006/main" count="48" uniqueCount="30">
  <si>
    <t>Tâches</t>
  </si>
  <si>
    <t>Personne</t>
  </si>
  <si>
    <t>Profil</t>
  </si>
  <si>
    <t>Etat avancement</t>
  </si>
  <si>
    <t>Equipe</t>
  </si>
  <si>
    <t>Quantité (h)</t>
  </si>
  <si>
    <t>Ouadie</t>
  </si>
  <si>
    <t>Heures / Jour</t>
  </si>
  <si>
    <t>Date début</t>
  </si>
  <si>
    <t>Durée (jours)</t>
  </si>
  <si>
    <t>Date fin</t>
  </si>
  <si>
    <t xml:space="preserve">Recherches et analyses des besoins </t>
  </si>
  <si>
    <t>Arnaud et Amer</t>
  </si>
  <si>
    <t xml:space="preserve">Théophile </t>
  </si>
  <si>
    <t>Développeur</t>
  </si>
  <si>
    <t>Chef projet &amp; Développeur</t>
  </si>
  <si>
    <t>Ouadie et Amer</t>
  </si>
  <si>
    <t>Développeurs</t>
  </si>
  <si>
    <t>base de données</t>
  </si>
  <si>
    <t>étude et script Bdd</t>
  </si>
  <si>
    <t>modèle bdd et DAO</t>
  </si>
  <si>
    <t>IA + Back end</t>
  </si>
  <si>
    <t>intégration algorithmique</t>
  </si>
  <si>
    <t>communiquer résultats front</t>
  </si>
  <si>
    <t>vérifications</t>
  </si>
  <si>
    <t>ajustements</t>
  </si>
  <si>
    <t>Front end</t>
  </si>
  <si>
    <t>partie utilisateur</t>
  </si>
  <si>
    <t>partie login</t>
  </si>
  <si>
    <t>intégration de la maquette IHM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</si>
</sst>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7030A0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16"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" formatCode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font>
        <b val="0"/>
        <strike val="0"/>
        <outline val="0"/>
        <shadow val="0"/>
        <u val="none"/>
        <vertAlign val="baseline"/>
        <sz val="11"/>
        <name val="Aptos Narrow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Projet SAE RA 5.01 - Planification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'Gantt SAE RA 5.01'!$C$27</c:f>
              <c:strCache>
                <c:ptCount val="1"/>
                <c:pt idx="0">
                  <c:v>Date début</c:v>
                </c:pt>
              </c:strCache>
            </c:strRef>
          </c:tx>
          <c:spPr>
            <a:noFill/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'Gantt SAE RA 5.01'!$B$28:$B$40</c:f>
              <c:strCache>
                <c:ptCount val="13"/>
                <c:pt idx="0">
                  <c:v>Recherches et analyses des besoins </c:v>
                </c:pt>
                <c:pt idx="1">
                  <c:v>base de données</c:v>
                </c:pt>
                <c:pt idx="2">
                  <c:v>étude et script Bdd</c:v>
                </c:pt>
                <c:pt idx="3">
                  <c:v>modèle bdd et DAO</c:v>
                </c:pt>
                <c:pt idx="4">
                  <c:v>IA + Back end</c:v>
                </c:pt>
                <c:pt idx="5">
                  <c:v>intégration algorithmique</c:v>
                </c:pt>
                <c:pt idx="6">
                  <c:v>communiquer résultats front</c:v>
                </c:pt>
                <c:pt idx="7">
                  <c:v>vérifications</c:v>
                </c:pt>
                <c:pt idx="8">
                  <c:v>ajustements</c:v>
                </c:pt>
                <c:pt idx="9">
                  <c:v>Front end</c:v>
                </c:pt>
                <c:pt idx="10">
                  <c:v>intégration de la maquette IHM</c:v>
                </c:pt>
                <c:pt idx="11">
                  <c:v>partie utilisateur</c:v>
                </c:pt>
                <c:pt idx="12">
                  <c:v>partie login</c:v>
                </c:pt>
              </c:strCache>
            </c:strRef>
          </c:cat>
          <c:val>
            <c:numRef>
              <c:f>'Gantt SAE RA 5.01'!$C$28:$C$40</c:f>
              <c:numCache>
                <c:formatCode>m/d/yyyy</c:formatCode>
                <c:ptCount val="13"/>
                <c:pt idx="0">
                  <c:v>45935</c:v>
                </c:pt>
                <c:pt idx="1">
                  <c:v>45947</c:v>
                </c:pt>
                <c:pt idx="2">
                  <c:v>45947</c:v>
                </c:pt>
                <c:pt idx="3">
                  <c:v>45947</c:v>
                </c:pt>
                <c:pt idx="4">
                  <c:v>45947</c:v>
                </c:pt>
                <c:pt idx="5">
                  <c:v>45965</c:v>
                </c:pt>
                <c:pt idx="6">
                  <c:v>45992</c:v>
                </c:pt>
                <c:pt idx="7">
                  <c:v>45992</c:v>
                </c:pt>
                <c:pt idx="8">
                  <c:v>46006</c:v>
                </c:pt>
                <c:pt idx="9">
                  <c:v>45947</c:v>
                </c:pt>
                <c:pt idx="10">
                  <c:v>45947</c:v>
                </c:pt>
                <c:pt idx="11">
                  <c:v>45968</c:v>
                </c:pt>
                <c:pt idx="12">
                  <c:v>45982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1-4DEC-9191-AEAE29FBBEE2}"/>
            </c:ext>
          </c:extLst>
        </c:ser>
        <c:ser>
          <c:idx val="1"/>
          <c:order val="1"/>
          <c:tx>
            <c:v>Durée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'Gantt SAE RA 5.01'!$D$28:$D$40</c:f>
              <c:numCache>
                <c:formatCode>0</c:formatCode>
                <c:ptCount val="13"/>
                <c:pt idx="0">
                  <c:v>12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84</c:v>
                </c:pt>
                <c:pt idx="5">
                  <c:v>26</c:v>
                </c:pt>
                <c:pt idx="6">
                  <c:v>14</c:v>
                </c:pt>
                <c:pt idx="7">
                  <c:v>14</c:v>
                </c:pt>
                <c:pt idx="8">
                  <c:v>4</c:v>
                </c:pt>
                <c:pt idx="9">
                  <c:v>82</c:v>
                </c:pt>
                <c:pt idx="10">
                  <c:v>21</c:v>
                </c:pt>
                <c:pt idx="11">
                  <c:v>14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91-4DEC-9191-AEAE29FBBEE2}"/>
            </c:ext>
          </c:extLst>
        </c:ser>
        <c:ser>
          <c:idx val="2"/>
          <c:order val="2"/>
          <c:tx>
            <c:v>Personnes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8D454B2-5BBB-4A9E-BB5C-32D1E957E95F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7DF-4541-8834-8F5E6A900CF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97DF1B1-FE00-4BFE-871C-3BD74759D96B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7DF-4541-8834-8F5E6A900CF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25E6826-3D3F-4366-8582-224DF72EFCE0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7DF-4541-8834-8F5E6A900CF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4E8AB3B-1067-49BC-A11D-0D2C312D6A09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7DF-4541-8834-8F5E6A900CF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DAE0B38-F468-4BC4-9BEB-38394DF4B93D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7DF-4541-8834-8F5E6A900CF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1DF9542-1444-40C5-B95B-2D9684668668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7DF-4541-8834-8F5E6A900CF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D85AEB4-86FB-4FDC-A62E-4797444AB3D0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7DF-4541-8834-8F5E6A900CF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6025644-0225-43B5-B7C9-1EF09E986558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7DF-4541-8834-8F5E6A900CF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639A024-9E69-4EBE-829E-8745F84320A6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7DF-4541-8834-8F5E6A900CF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7571192-B5A1-4251-B5FE-A91AB72ADC04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7DF-4541-8834-8F5E6A900CF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CF91DE3-5181-4D22-A1F7-99618E5EA958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7DF-4541-8834-8F5E6A900CF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B60E611-3D0B-4A95-830C-3F472C8D759A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7DF-4541-8834-8F5E6A900CF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0611E6D-D5C7-40F0-9FBA-E700142B7744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7DF-4541-8834-8F5E6A900C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'Gantt SAE RA 5.01'!$F$28:$F$40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'Gantt SAE RA 5.01'!$F$28:$F$40</c15:f>
                <c15:dlblRangeCache>
                  <c:ptCount val="13"/>
                  <c:pt idx="0">
                    <c:v>Equipe</c:v>
                  </c:pt>
                  <c:pt idx="1">
                    <c:v>Théophile </c:v>
                  </c:pt>
                  <c:pt idx="2">
                    <c:v>Théophile </c:v>
                  </c:pt>
                  <c:pt idx="3">
                    <c:v>Théophile </c:v>
                  </c:pt>
                  <c:pt idx="4">
                    <c:v>Arnaud et Amer</c:v>
                  </c:pt>
                  <c:pt idx="5">
                    <c:v>Arnaud et Amer</c:v>
                  </c:pt>
                  <c:pt idx="6">
                    <c:v>Arnaud et Amer</c:v>
                  </c:pt>
                  <c:pt idx="7">
                    <c:v>Arnaud et Amer</c:v>
                  </c:pt>
                  <c:pt idx="8">
                    <c:v>Arnaud et Amer</c:v>
                  </c:pt>
                  <c:pt idx="9">
                    <c:v>Ouadie et Amer</c:v>
                  </c:pt>
                  <c:pt idx="10">
                    <c:v>Ouadie</c:v>
                  </c:pt>
                  <c:pt idx="11">
                    <c:v>Ouadie</c:v>
                  </c:pt>
                  <c:pt idx="12">
                    <c:v>Ouadie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7DF-4541-8834-8F5E6A900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0421775"/>
        <c:axId val="620421295"/>
      </c:barChart>
      <c:catAx>
        <c:axId val="6204217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0421295"/>
        <c:crosses val="autoZero"/>
        <c:auto val="1"/>
        <c:lblAlgn val="ctr"/>
        <c:lblOffset val="100"/>
        <c:noMultiLvlLbl val="0"/>
      </c:catAx>
      <c:valAx>
        <c:axId val="620421295"/>
        <c:scaling>
          <c:orientation val="minMax"/>
          <c:max val="46040"/>
          <c:min val="45935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042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15240</xdr:rowOff>
    </xdr:from>
    <xdr:to>
      <xdr:col>10</xdr:col>
      <xdr:colOff>0</xdr:colOff>
      <xdr:row>25</xdr:row>
      <xdr:rowOff>457200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5B553EB-14B0-6740-694B-4DD3B7475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15B9BC-91EC-4395-A650-8991B4FDE4B7}" name="Tableau1" displayName="Tableau1" ref="B27:J40" totalsRowShown="0">
  <autoFilter ref="B27:J40" xr:uid="{3A15B9BC-91EC-4395-A650-8991B4FDE4B7}"/>
  <sortState ref="B28:J38">
    <sortCondition ref="C28:C38"/>
    <sortCondition ref="F28:F38"/>
    <sortCondition ref="B28:B38"/>
  </sortState>
  <tableColumns count="9">
    <tableColumn id="1" xr3:uid="{DC4FFC6E-3C40-4D86-942B-D6A4C14DB889}" name="Tâches" dataDxfId="9"/>
    <tableColumn id="2" xr3:uid="{6039095D-DB61-47E9-B7C4-12FDE7490B4A}" name="Date début" dataDxfId="8" totalsRowDxfId="7"/>
    <tableColumn id="3" xr3:uid="{5BA5D3A5-B851-416A-8FF1-80FE4794D90A}" name="Durée (jours)" dataDxfId="6" totalsRowDxfId="5">
      <calculatedColumnFormula>E28-C28</calculatedColumnFormula>
    </tableColumn>
    <tableColumn id="4" xr3:uid="{54A0CDF2-41A5-4E89-B934-D27D6AC809DD}" name="Date fin" dataDxfId="4" totalsRowDxfId="3"/>
    <tableColumn id="5" xr3:uid="{AF4744DE-8109-47C5-83E7-72AAA32063DB}" name="Personne"/>
    <tableColumn id="6" xr3:uid="{51D2A2BF-B825-4773-98CB-A58D17D927F2}" name="Profil"/>
    <tableColumn id="9" xr3:uid="{C88E1E6F-64E7-485C-A263-D5092C4E66F2}" name="Heures / Jour" dataDxfId="2"/>
    <tableColumn id="7" xr3:uid="{F192090E-9121-478D-9B80-9D0E2BF18E76}" name="Quantité (h)" dataDxfId="1" totalsRowDxfId="0">
      <calculatedColumnFormula>Tableau1[[#This Row],[Durée (jours)]]*Tableau1[[#This Row],[Heures / Jour]]</calculatedColumnFormula>
    </tableColumn>
    <tableColumn id="8" xr3:uid="{380D66CE-35D1-419A-A2AE-F2C495E8ECEC}" name="Etat avancement">
      <calculatedColumnFormula>IF(TODAY()&lt;Tableau1[[#This Row],[Date début]], "À venir", IF(TODAY()&gt;Tableau1[[#This Row],[Date fin]], "Terminé", "En cours"))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E82CC-F395-42E3-8799-4B069E8F73F7}">
  <sheetPr codeName="Feuil1"/>
  <dimension ref="B26:J40"/>
  <sheetViews>
    <sheetView tabSelected="1" workbookViewId="0">
      <selection activeCell="B27" sqref="B27"/>
    </sheetView>
  </sheetViews>
  <sheetFormatPr baseColWidth="10" defaultRowHeight="13.8"/>
  <cols>
    <col min="2" max="2" width="37" customWidth="1"/>
    <col min="3" max="3" width="12.3984375" customWidth="1"/>
    <col min="4" max="4" width="13.796875" customWidth="1"/>
    <col min="5" max="5" width="10.8984375" customWidth="1"/>
    <col min="6" max="6" width="13.69921875" customWidth="1"/>
    <col min="7" max="7" width="14.69921875" customWidth="1"/>
    <col min="8" max="8" width="11.69921875" customWidth="1"/>
    <col min="9" max="9" width="16.796875" customWidth="1"/>
  </cols>
  <sheetData>
    <row r="26" spans="2:10" ht="45" customHeight="1"/>
    <row r="27" spans="2:10">
      <c r="B27" t="s">
        <v>0</v>
      </c>
      <c r="C27" t="s">
        <v>8</v>
      </c>
      <c r="D27" t="s">
        <v>9</v>
      </c>
      <c r="E27" t="s">
        <v>10</v>
      </c>
      <c r="F27" t="s">
        <v>1</v>
      </c>
      <c r="G27" t="s">
        <v>2</v>
      </c>
      <c r="H27" t="s">
        <v>7</v>
      </c>
      <c r="I27" t="s">
        <v>5</v>
      </c>
      <c r="J27" t="s">
        <v>3</v>
      </c>
    </row>
    <row r="28" spans="2:10">
      <c r="B28" s="5" t="s">
        <v>11</v>
      </c>
      <c r="C28" s="1">
        <v>45935</v>
      </c>
      <c r="D28" s="2">
        <f t="shared" ref="D28:D40" si="0">E28-C28</f>
        <v>12</v>
      </c>
      <c r="E28" s="1">
        <v>45947</v>
      </c>
      <c r="F28" t="s">
        <v>4</v>
      </c>
      <c r="G28" t="s">
        <v>14</v>
      </c>
      <c r="H28" s="3">
        <v>0.5</v>
      </c>
      <c r="I28" s="3">
        <f>Tableau1[[#This Row],[Durée (jours)]]*Tableau1[[#This Row],[Heures / Jour]]</f>
        <v>6</v>
      </c>
      <c r="J28" t="str">
        <f ca="1">IF(TODAY()&lt;Tableau1[[#This Row],[Date début]], "À venir", IF(TODAY()&gt;Tableau1[[#This Row],[Date fin]], "Terminé", "En cours"))</f>
        <v>Terminé</v>
      </c>
    </row>
    <row r="29" spans="2:10">
      <c r="B29" s="8" t="s">
        <v>18</v>
      </c>
      <c r="C29" s="1">
        <v>45947</v>
      </c>
      <c r="D29" s="2">
        <f t="shared" si="0"/>
        <v>48</v>
      </c>
      <c r="E29" s="1">
        <v>45995</v>
      </c>
      <c r="F29" t="s">
        <v>13</v>
      </c>
      <c r="G29" t="s">
        <v>14</v>
      </c>
      <c r="H29" s="3">
        <v>1</v>
      </c>
      <c r="I29" s="3">
        <f>Tableau1[[#This Row],[Durée (jours)]]*Tableau1[[#This Row],[Heures / Jour]]</f>
        <v>48</v>
      </c>
      <c r="J29" t="str">
        <f ca="1">IF(TODAY()&lt;Tableau1[[#This Row],[Date début]], "À venir", IF(TODAY()&gt;Tableau1[[#This Row],[Date fin]], "Terminé", "En cours"))</f>
        <v>En cours</v>
      </c>
    </row>
    <row r="30" spans="2:10">
      <c r="B30" s="8" t="s">
        <v>19</v>
      </c>
      <c r="C30" s="1">
        <v>45947</v>
      </c>
      <c r="D30" s="2">
        <f t="shared" si="0"/>
        <v>48</v>
      </c>
      <c r="E30" s="1">
        <v>45995</v>
      </c>
      <c r="F30" t="s">
        <v>13</v>
      </c>
      <c r="G30" t="s">
        <v>14</v>
      </c>
      <c r="H30" s="3">
        <v>0.5</v>
      </c>
      <c r="I30" s="3">
        <f>Tableau1[[#This Row],[Durée (jours)]]*Tableau1[[#This Row],[Heures / Jour]]</f>
        <v>24</v>
      </c>
      <c r="J30" t="str">
        <f ca="1">IF(TODAY()&lt;Tableau1[[#This Row],[Date début]], "À venir", IF(TODAY()&gt;Tableau1[[#This Row],[Date fin]], "Terminé", "En cours"))</f>
        <v>En cours</v>
      </c>
    </row>
    <row r="31" spans="2:10">
      <c r="B31" s="8" t="s">
        <v>20</v>
      </c>
      <c r="C31" s="1">
        <v>45947</v>
      </c>
      <c r="D31" s="2">
        <f t="shared" si="0"/>
        <v>48</v>
      </c>
      <c r="E31" s="1">
        <v>45995</v>
      </c>
      <c r="F31" t="s">
        <v>13</v>
      </c>
      <c r="G31" t="s">
        <v>14</v>
      </c>
      <c r="H31" s="3">
        <v>0.5</v>
      </c>
      <c r="I31" s="3">
        <f>Tableau1[[#This Row],[Durée (jours)]]*Tableau1[[#This Row],[Heures / Jour]]</f>
        <v>24</v>
      </c>
      <c r="J31" t="str">
        <f ca="1">IF(TODAY()&lt;Tableau1[[#This Row],[Date début]], "À venir", IF(TODAY()&gt;Tableau1[[#This Row],[Date fin]], "Terminé", "En cours"))</f>
        <v>En cours</v>
      </c>
    </row>
    <row r="32" spans="2:10">
      <c r="B32" s="6" t="s">
        <v>21</v>
      </c>
      <c r="C32" s="1">
        <v>45947</v>
      </c>
      <c r="D32" s="2">
        <f t="shared" si="0"/>
        <v>84</v>
      </c>
      <c r="E32" s="1">
        <v>46031</v>
      </c>
      <c r="F32" t="s">
        <v>12</v>
      </c>
      <c r="G32" t="s">
        <v>15</v>
      </c>
      <c r="H32" s="3">
        <v>1</v>
      </c>
      <c r="I32" s="3">
        <f>Tableau1[[#This Row],[Durée (jours)]]*Tableau1[[#This Row],[Heures / Jour]]</f>
        <v>84</v>
      </c>
      <c r="J32" t="str">
        <f ca="1">IF(TODAY()&lt;Tableau1[[#This Row],[Date début]], "À venir", IF(TODAY()&gt;Tableau1[[#This Row],[Date fin]], "Terminé", "En cours"))</f>
        <v>En cours</v>
      </c>
    </row>
    <row r="33" spans="2:10">
      <c r="B33" s="6" t="s">
        <v>22</v>
      </c>
      <c r="C33" s="1">
        <v>45965</v>
      </c>
      <c r="D33" s="2">
        <f t="shared" si="0"/>
        <v>26</v>
      </c>
      <c r="E33" s="1">
        <v>45991</v>
      </c>
      <c r="F33" t="s">
        <v>12</v>
      </c>
      <c r="G33" t="s">
        <v>15</v>
      </c>
      <c r="H33" s="3">
        <v>2</v>
      </c>
      <c r="I33" s="3">
        <f>Tableau1[[#This Row],[Durée (jours)]]*Tableau1[[#This Row],[Heures / Jour]]</f>
        <v>52</v>
      </c>
      <c r="J33" t="str">
        <f ca="1">IF(TODAY()&lt;Tableau1[[#This Row],[Date début]], "À venir", IF(TODAY()&gt;Tableau1[[#This Row],[Date fin]], "Terminé", "En cours"))</f>
        <v>À venir</v>
      </c>
    </row>
    <row r="34" spans="2:10">
      <c r="B34" s="6" t="s">
        <v>23</v>
      </c>
      <c r="C34" s="1">
        <v>45992</v>
      </c>
      <c r="D34" s="2">
        <f t="shared" si="0"/>
        <v>14</v>
      </c>
      <c r="E34" s="1">
        <v>46006</v>
      </c>
      <c r="F34" t="s">
        <v>12</v>
      </c>
      <c r="G34" t="s">
        <v>15</v>
      </c>
      <c r="H34" s="3">
        <v>2</v>
      </c>
      <c r="I34" s="3">
        <f>Tableau1[[#This Row],[Durée (jours)]]*Tableau1[[#This Row],[Heures / Jour]]</f>
        <v>28</v>
      </c>
      <c r="J34" t="str">
        <f ca="1">IF(TODAY()&lt;Tableau1[[#This Row],[Date début]], "À venir", IF(TODAY()&gt;Tableau1[[#This Row],[Date fin]], "Terminé", "En cours"))</f>
        <v>À venir</v>
      </c>
    </row>
    <row r="35" spans="2:10">
      <c r="B35" s="6" t="s">
        <v>24</v>
      </c>
      <c r="C35" s="1">
        <v>45992</v>
      </c>
      <c r="D35" s="2">
        <f t="shared" si="0"/>
        <v>14</v>
      </c>
      <c r="E35" s="1">
        <v>46006</v>
      </c>
      <c r="F35" t="s">
        <v>12</v>
      </c>
      <c r="G35" t="s">
        <v>15</v>
      </c>
      <c r="H35" s="3">
        <v>1</v>
      </c>
      <c r="I35" s="3">
        <f>Tableau1[[#This Row],[Durée (jours)]]*Tableau1[[#This Row],[Heures / Jour]]</f>
        <v>14</v>
      </c>
      <c r="J35" t="str">
        <f ca="1">IF(TODAY()&lt;Tableau1[[#This Row],[Date début]], "À venir", IF(TODAY()&gt;Tableau1[[#This Row],[Date fin]], "Terminé", "En cours"))</f>
        <v>À venir</v>
      </c>
    </row>
    <row r="36" spans="2:10">
      <c r="B36" s="6" t="s">
        <v>25</v>
      </c>
      <c r="C36" s="1">
        <v>46006</v>
      </c>
      <c r="D36" s="2">
        <f t="shared" si="0"/>
        <v>4</v>
      </c>
      <c r="E36" s="1">
        <v>46010</v>
      </c>
      <c r="F36" t="s">
        <v>12</v>
      </c>
      <c r="G36" t="s">
        <v>15</v>
      </c>
      <c r="H36" s="3">
        <v>2</v>
      </c>
      <c r="I36" s="3">
        <f>Tableau1[[#This Row],[Durée (jours)]]*Tableau1[[#This Row],[Heures / Jour]]</f>
        <v>8</v>
      </c>
      <c r="J36" t="str">
        <f ca="1">IF(TODAY()&lt;Tableau1[[#This Row],[Date début]], "À venir", IF(TODAY()&gt;Tableau1[[#This Row],[Date fin]], "Terminé", "En cours"))</f>
        <v>À venir</v>
      </c>
    </row>
    <row r="37" spans="2:10">
      <c r="B37" s="7" t="s">
        <v>26</v>
      </c>
      <c r="C37" s="1">
        <v>45947</v>
      </c>
      <c r="D37" s="2">
        <f t="shared" si="0"/>
        <v>82</v>
      </c>
      <c r="E37" s="1">
        <v>46029</v>
      </c>
      <c r="F37" t="s">
        <v>16</v>
      </c>
      <c r="G37" t="s">
        <v>17</v>
      </c>
      <c r="H37" s="3">
        <v>1</v>
      </c>
      <c r="I37" s="3">
        <f>Tableau1[[#This Row],[Durée (jours)]]*Tableau1[[#This Row],[Heures / Jour]]</f>
        <v>82</v>
      </c>
      <c r="J37" t="str">
        <f ca="1">IF(TODAY()&lt;Tableau1[[#This Row],[Date début]], "À venir", IF(TODAY()&gt;Tableau1[[#This Row],[Date fin]], "Terminé", "En cours"))</f>
        <v>En cours</v>
      </c>
    </row>
    <row r="38" spans="2:10">
      <c r="B38" s="7" t="s">
        <v>29</v>
      </c>
      <c r="C38" s="1">
        <v>45947</v>
      </c>
      <c r="D38" s="2">
        <f t="shared" si="0"/>
        <v>21</v>
      </c>
      <c r="E38" s="1">
        <v>45968</v>
      </c>
      <c r="F38" t="s">
        <v>6</v>
      </c>
      <c r="G38" t="s">
        <v>14</v>
      </c>
      <c r="H38" s="3">
        <v>1</v>
      </c>
      <c r="I38" s="3">
        <f>Tableau1[[#This Row],[Durée (jours)]]*Tableau1[[#This Row],[Heures / Jour]]</f>
        <v>21</v>
      </c>
      <c r="J38" t="str">
        <f ca="1">IF(TODAY()&lt;Tableau1[[#This Row],[Date début]], "À venir", IF(TODAY()&gt;Tableau1[[#This Row],[Date fin]], "Terminé", "En cours"))</f>
        <v>En cours</v>
      </c>
    </row>
    <row r="39" spans="2:10">
      <c r="B39" s="7" t="s">
        <v>27</v>
      </c>
      <c r="C39" s="1">
        <v>45968</v>
      </c>
      <c r="D39" s="2">
        <f t="shared" si="0"/>
        <v>14</v>
      </c>
      <c r="E39" s="1">
        <v>45982</v>
      </c>
      <c r="F39" t="s">
        <v>6</v>
      </c>
      <c r="G39" t="s">
        <v>14</v>
      </c>
      <c r="H39" s="3">
        <v>2</v>
      </c>
      <c r="I39" s="4">
        <f>Tableau1[[#This Row],[Durée (jours)]]*Tableau1[[#This Row],[Heures / Jour]]</f>
        <v>28</v>
      </c>
      <c r="J39" t="str">
        <f ca="1">IF(TODAY()&lt;Tableau1[[#This Row],[Date début]], "À venir", IF(TODAY()&gt;Tableau1[[#This Row],[Date fin]], "Terminé", "En cours"))</f>
        <v>À venir</v>
      </c>
    </row>
    <row r="40" spans="2:10">
      <c r="B40" s="7" t="s">
        <v>28</v>
      </c>
      <c r="C40" s="1">
        <v>45982</v>
      </c>
      <c r="D40" s="2">
        <f t="shared" si="0"/>
        <v>10</v>
      </c>
      <c r="E40" s="1">
        <v>45992</v>
      </c>
      <c r="F40" t="s">
        <v>6</v>
      </c>
      <c r="G40" t="s">
        <v>14</v>
      </c>
      <c r="H40" s="3">
        <v>1</v>
      </c>
      <c r="I40" s="4">
        <f>Tableau1[[#This Row],[Durée (jours)]]*Tableau1[[#This Row],[Heures / Jour]]</f>
        <v>10</v>
      </c>
      <c r="J40" t="str">
        <f ca="1">IF(TODAY()&lt;Tableau1[[#This Row],[Date début]], "À venir", IF(TODAY()&gt;Tableau1[[#This Row],[Date fin]], "Terminé", "En cours"))</f>
        <v>À venir</v>
      </c>
    </row>
  </sheetData>
  <conditionalFormatting sqref="J28 J30:J40">
    <cfRule type="containsText" dxfId="15" priority="4" operator="containsText" text="Terminé">
      <formula>NOT(ISERROR(SEARCH("Terminé",J28)))</formula>
    </cfRule>
    <cfRule type="containsText" dxfId="14" priority="5" operator="containsText" text="En cours">
      <formula>NOT(ISERROR(SEARCH("En cours",J28)))</formula>
    </cfRule>
    <cfRule type="containsText" dxfId="13" priority="6" operator="containsText" text="à venir">
      <formula>NOT(ISERROR(SEARCH("à venir",J28)))</formula>
    </cfRule>
  </conditionalFormatting>
  <conditionalFormatting sqref="J29">
    <cfRule type="containsText" dxfId="12" priority="1" operator="containsText" text="Terminé">
      <formula>NOT(ISERROR(SEARCH("Terminé",J29)))</formula>
    </cfRule>
    <cfRule type="containsText" dxfId="11" priority="2" operator="containsText" text="En cours">
      <formula>NOT(ISERROR(SEARCH("En cours",J29)))</formula>
    </cfRule>
    <cfRule type="containsText" dxfId="10" priority="3" operator="containsText" text="à venir">
      <formula>NOT(ISERROR(SEARCH("à venir",J29)))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SAE RA 5.01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2024-04-15T08:00:44Z</dcterms:created>
  <dcterms:modified xsi:type="dcterms:W3CDTF">2025-11-03T09:16:37Z</dcterms:modified>
</cp:coreProperties>
</file>